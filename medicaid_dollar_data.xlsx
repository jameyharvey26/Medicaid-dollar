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low model" sheetId="2" state="visible" r:id="rId4"/>
    <sheet name="Beneficiaries" sheetId="3" state="visible" r:id="rId5"/>
    <sheet name="Leakages" sheetId="4" state="visible" r:id="rId6"/>
    <sheet name="Sources" sheetId="5" state="visible" r:id="rId7"/>
    <sheet name="Assumptio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<sst xmlns="http://schemas.openxmlformats.org/spreadsheetml/2006/main" count="322" uniqueCount="267">
  <si>
    <t xml:space="preserve">$100 Medicaid Dollars - Data, Sources &amp; Assumptions</t>
  </si>
  <si>
    <t xml:space="preserve">Companion workbook to the $100 Medicaid Dollars infographic (DRAFT V.4 - Public Comment). Vintage: FY2024 (federal fiscal year) unless noted.</t>
  </si>
  <si>
    <t xml:space="preserve">What this is</t>
  </si>
  <si>
    <t xml:space="preserve">A transparent build of every figure behind the infographic. The unit is $100 of total Medicaid spending - 'the Medicaid dollar' - formed by combining the federal share ($64.70) and the state share ($35.30). It is run through the state agency (administration and Medicare-premium losses peel off), disbursed across three payer lanes kept separate to the provider phase (non-dual MCO, dual MCO, fee-for-service), split into six provider nodes, and finally read as the share of each service consumed by each beneficiary group. Every input is sourced; every modeling choice is logged.</t>
  </si>
  <si>
    <t xml:space="preserve">Color &amp; format conventions</t>
  </si>
  <si>
    <t xml:space="preserve">Blue text = hard-coded input taken directly from a published source (see Sources tab).</t>
  </si>
  <si>
    <t xml:space="preserve">Black text = value derived inside the workbook.</t>
  </si>
  <si>
    <t xml:space="preserve">Yellow fill = key assumption or known data gap that needs attention (see Assumptions tab).</t>
  </si>
  <si>
    <t xml:space="preserve">Tabs</t>
  </si>
  <si>
    <t xml:space="preserve">- Flow model - The $100 combined dollar; sequential administration and Medicare-premium peels; the three-lane payer split; the dual-capitation derivation; FFS categories and the HMA managed-care key; the six-node provider phase (FQHC merged into Physicians &amp; clinics; behavioral health carved cross-cutting).</t>
  </si>
  <si>
    <t xml:space="preserve">- Beneficiaries - Eligibility-group spending shares (FY2023) mapped to four groups, and the IPF-balanced service-by-group cross-tab behind the six pies.</t>
  </si>
  <si>
    <t xml:space="preserve">- Leakages - Plan-retained dollars off each capitated lane (admin / margin / public-company earnings) and documented fraud.</t>
  </si>
  <si>
    <t xml:space="preserve">- Sources - Full citation and URL for every figure.</t>
  </si>
  <si>
    <t xml:space="preserve">- Assumptions - Every modeling decision, mapping choice, and data gap, numbered A1-A12.</t>
  </si>
  <si>
    <t xml:space="preserve">Headline reconciliation (FY2024, per $100 total)</t>
  </si>
  <si>
    <t xml:space="preserve">- Total Medicaid spending (benefits + admin): $957.4B  |  benefits only: $908.8B.</t>
  </si>
  <si>
    <t xml:space="preserve">- Federal share 64.7%, state 35.3% -&gt; the Medicaid dollar = $100 combined = federal $64.70 + state $35.30.</t>
  </si>
  <si>
    <t xml:space="preserve">- State agency peels: administration $5.07, then Medicare premiums for duals $2.90  -&gt;  $92.03 disbursed.</t>
  </si>
  <si>
    <t xml:space="preserve">- Three payer lanes (per $100 total): MCO $40.06, dual managed care $10.89, fee-for-service $41.08 (sum $92.03).</t>
  </si>
  <si>
    <t xml:space="preserve">- Plan retention $5.61 peels off the capitated lanes  -&gt;  $86.42 reaches providers; documented fraud $0.15  -&gt;  $86.27 delivered.</t>
  </si>
  <si>
    <t xml:space="preserve">- NHE (calendar 2024) reports Medicaid at $931.7B - a different basis; used only as a cross-check.</t>
  </si>
  <si>
    <t xml:space="preserve">$100 Medicaid Dollars - Flow Model - FY2024</t>
  </si>
  <si>
    <t xml:space="preserve">Per $100 of total Medicaid outlays (the combined federal + state dollar). $ in millions unless the column says per $100.</t>
  </si>
  <si>
    <t xml:space="preserve">ANCHORS</t>
  </si>
  <si>
    <t xml:space="preserve">Total Medicaid spending (benefits + administration)</t>
  </si>
  <si>
    <t xml:space="preserve">$M</t>
  </si>
  <si>
    <t xml:space="preserve">MACStats Feb 2026, Ex.16</t>
  </si>
  <si>
    <t xml:space="preserve">Total Medicaid benefit spending</t>
  </si>
  <si>
    <t xml:space="preserve">MACStats Ex.17</t>
  </si>
  <si>
    <t xml:space="preserve">Implied administration (total - benefits)</t>
  </si>
  <si>
    <t xml:space="preserve">derived</t>
  </si>
  <si>
    <t xml:space="preserve">Federal share of benefit spending</t>
  </si>
  <si>
    <t xml:space="preserve">MACStats Feb 2026</t>
  </si>
  <si>
    <t xml:space="preserve">State (non-federal) share</t>
  </si>
  <si>
    <t xml:space="preserve">NHE Medicaid, calendar 2024 (cross-check, diff. basis)</t>
  </si>
  <si>
    <t xml:space="preserve">CMS NHE 2024</t>
  </si>
  <si>
    <t xml:space="preserve">THE MEDICAID DOLLAR ($100 = federal + state combined) AND STATE-AGENCY PEELS</t>
  </si>
  <si>
    <t xml:space="preserve">Step</t>
  </si>
  <si>
    <t xml:space="preserve">Per $100</t>
  </si>
  <si>
    <t xml:space="preserve">Basis</t>
  </si>
  <si>
    <t xml:space="preserve">Note</t>
  </si>
  <si>
    <t xml:space="preserve">Federal share of the dollar</t>
  </si>
  <si>
    <t xml:space="preserve">enters from above</t>
  </si>
  <si>
    <t xml:space="preserve">State share of the dollar</t>
  </si>
  <si>
    <t xml:space="preserve">merges in</t>
  </si>
  <si>
    <t xml:space="preserve">The Medicaid dollar (combined)</t>
  </si>
  <si>
    <t xml:space="preserve">less Administration</t>
  </si>
  <si>
    <t xml:space="preserve">admin / total outlays</t>
  </si>
  <si>
    <t xml:space="preserve">less Medicare premiums for duals</t>
  </si>
  <si>
    <t xml:space="preserve">$M; Medicaid -&gt; Medicare, peels out</t>
  </si>
  <si>
    <t xml:space="preserve">Disbursable benefits (to the three lanes)</t>
  </si>
  <si>
    <t xml:space="preserve">should equal lane sum below</t>
  </si>
  <si>
    <t xml:space="preserve">PAYER-CHANNEL SPLIT - THREE LANES (per $100 total; collections folded proportionally)</t>
  </si>
  <si>
    <t xml:space="preserve">Lane</t>
  </si>
  <si>
    <t xml:space="preserve">Spending ($M)</t>
  </si>
  <si>
    <t xml:space="preserve">% of net</t>
  </si>
  <si>
    <t xml:space="preserve">Per $100 total</t>
  </si>
  <si>
    <t xml:space="preserve">Source / note</t>
  </si>
  <si>
    <t xml:space="preserve">Total capitation (single CMS-64 line)</t>
  </si>
  <si>
    <t xml:space="preserve">Ex.17</t>
  </si>
  <si>
    <t xml:space="preserve">  Lane 1 - MCO (non-dual capitation), MODELED</t>
  </si>
  <si>
    <t xml:space="preserve">total capitation minus dual capitation</t>
  </si>
  <si>
    <t xml:space="preserve">  Lane 2 - Dual MCO capitation, MODELED</t>
  </si>
  <si>
    <t xml:space="preserve">triangulated (A11); softest number</t>
  </si>
  <si>
    <t xml:space="preserve">Lane 3 - Fee-for-service, itemized (MEASURED)</t>
  </si>
  <si>
    <t xml:space="preserve">Ex.17 - sum of categories below</t>
  </si>
  <si>
    <t xml:space="preserve">Net denominator (capitation + FFS)</t>
  </si>
  <si>
    <t xml:space="preserve">collections folded via this share</t>
  </si>
  <si>
    <t xml:space="preserve">Lane check (per $100 total)</t>
  </si>
  <si>
    <t xml:space="preserve">B28 should equal D28</t>
  </si>
  <si>
    <t xml:space="preserve">PLAN RETENTION CARVE ON CAPITATED LANES (per $100 total)</t>
  </si>
  <si>
    <t xml:space="preserve">Medical loss ratio (care delivered)</t>
  </si>
  <si>
    <t xml:space="preserve">Centene/Molina Medicaid HBR ~88-91%</t>
  </si>
  <si>
    <t xml:space="preserve">MCO care to providers</t>
  </si>
  <si>
    <t xml:space="preserve">Dual care to providers</t>
  </si>
  <si>
    <t xml:space="preserve">Plan retained (both lanes)</t>
  </si>
  <si>
    <t xml:space="preserve">plan administration + earnings (Leakages)</t>
  </si>
  <si>
    <t xml:space="preserve">FFS to providers (no carve)</t>
  </si>
  <si>
    <t xml:space="preserve">To providers (FFS + MCO care + dual care)</t>
  </si>
  <si>
    <t xml:space="preserve">FFS CATEGORIES (Ex.17) -&gt; BASE NODES (FQHC merged into Physicians &amp; clinics)</t>
  </si>
  <si>
    <t xml:space="preserve">CMS-64 category</t>
  </si>
  <si>
    <t xml:space="preserve">% of FFS</t>
  </si>
  <si>
    <t xml:space="preserve">Maps to node</t>
  </si>
  <si>
    <t xml:space="preserve">Hospital</t>
  </si>
  <si>
    <t xml:space="preserve">Hospitals</t>
  </si>
  <si>
    <t xml:space="preserve">Physician</t>
  </si>
  <si>
    <t xml:space="preserve">Physicians &amp; clinics</t>
  </si>
  <si>
    <t xml:space="preserve">Other practitioner</t>
  </si>
  <si>
    <t xml:space="preserve">NPs, PAs, therapists</t>
  </si>
  <si>
    <t xml:space="preserve">Clinic &amp; health center (incl. FQHC)</t>
  </si>
  <si>
    <t xml:space="preserve">FQHC merged here (A4)</t>
  </si>
  <si>
    <t xml:space="preserve">Dental</t>
  </si>
  <si>
    <t xml:space="preserve">Other</t>
  </si>
  <si>
    <t xml:space="preserve">Other acute</t>
  </si>
  <si>
    <t xml:space="preserve">NEMT, DME, EPSDT, hospice, lab (A6)</t>
  </si>
  <si>
    <t xml:space="preserve">Drugs (net of rebates)</t>
  </si>
  <si>
    <t xml:space="preserve">Rx drugs</t>
  </si>
  <si>
    <t xml:space="preserve">Institutional LTSS</t>
  </si>
  <si>
    <t xml:space="preserve">Long-term care</t>
  </si>
  <si>
    <t xml:space="preserve">Home- &amp; community-based LTSS</t>
  </si>
  <si>
    <t xml:space="preserve">FFS subtotal</t>
  </si>
  <si>
    <t xml:space="preserve">HMA T-MSIS MANAGED-CARE KEY (CY2021) -&gt; base nodes</t>
  </si>
  <si>
    <t xml:space="preserve">HMA category</t>
  </si>
  <si>
    <t xml:space="preserve">Share</t>
  </si>
  <si>
    <t xml:space="preserve">Inpatient</t>
  </si>
  <si>
    <t xml:space="preserve">Outpatient</t>
  </si>
  <si>
    <t xml:space="preserve">Professional</t>
  </si>
  <si>
    <t xml:space="preserve">incl. MC FQHC; unbundles hospital MD work (A1)</t>
  </si>
  <si>
    <t xml:space="preserve">SNF / HCBS (LTSS)</t>
  </si>
  <si>
    <t xml:space="preserve">Pharmacy</t>
  </si>
  <si>
    <t xml:space="preserve">Other + unallocated</t>
  </si>
  <si>
    <t xml:space="preserve">incl. ~5.5% residual</t>
  </si>
  <si>
    <t xml:space="preserve">HMA total</t>
  </si>
  <si>
    <t xml:space="preserve">BEHAVIORAL HEALTH - CROSS-CUTTING CARVE (per $100 total)</t>
  </si>
  <si>
    <t xml:space="preserve">Behavioral health is 9.3-13% of Medicaid (A12); it is NOT a CMS-64 line. It is carved from the five service lines where it actually sits.</t>
  </si>
  <si>
    <t xml:space="preserve">Carved from</t>
  </si>
  <si>
    <t xml:space="preserve">Setting</t>
  </si>
  <si>
    <t xml:space="preserve">rehab, residential SUD, community MH, case mgmt</t>
  </si>
  <si>
    <t xml:space="preserve">psychiatry, therapy, CMHC outpatient</t>
  </si>
  <si>
    <t xml:space="preserve">psychotropics</t>
  </si>
  <si>
    <t xml:space="preserve">inpatient psych, detox</t>
  </si>
  <si>
    <t xml:space="preserve">psychiatric residential, group homes</t>
  </si>
  <si>
    <t xml:space="preserve">Behavioral health node (total)</t>
  </si>
  <si>
    <t xml:space="preserve">~11% of provider dollars (A12)</t>
  </si>
  <si>
    <t xml:space="preserve">PROVIDER PHASE - SIX NODES x THREE LANES (per $100 total, after carves)</t>
  </si>
  <si>
    <t xml:space="preserve">Provider node</t>
  </si>
  <si>
    <t xml:space="preserve">FFS lane</t>
  </si>
  <si>
    <t xml:space="preserve">MCO lane</t>
  </si>
  <si>
    <t xml:space="preserve">Dual lane</t>
  </si>
  <si>
    <t xml:space="preserve">TOTAL</t>
  </si>
  <si>
    <t xml:space="preserve">Behavioral health</t>
  </si>
  <si>
    <t xml:space="preserve">Provider total</t>
  </si>
  <si>
    <t xml:space="preserve">Check vs 'to providers' above</t>
  </si>
  <si>
    <t xml:space="preserve">should match</t>
  </si>
  <si>
    <t xml:space="preserve">less Documented fraud</t>
  </si>
  <si>
    <t xml:space="preserve">delivered to care</t>
  </si>
  <si>
    <t xml:space="preserve">Beneficiary Phase - who consumes each service</t>
  </si>
  <si>
    <t xml:space="preserve">Not a money flow. Each service's split is fit by iterative proportional fitting (IPF) to two margins: the service totals (rows) and the group spending totals (columns). Seeded with utilisation patterns. This is the data behind the six pies.</t>
  </si>
  <si>
    <t xml:space="preserve">ELIGIBILITY-GROUP SPENDING SHARES (Ex.21, FY2023) -&gt; FOUR GROUPS</t>
  </si>
  <si>
    <t xml:space="preserve">Source group</t>
  </si>
  <si>
    <t xml:space="preserve">Model group</t>
  </si>
  <si>
    <t xml:space="preserve">Group share</t>
  </si>
  <si>
    <t xml:space="preserve">Children</t>
  </si>
  <si>
    <t xml:space="preserve">New adult group (expansion)</t>
  </si>
  <si>
    <t xml:space="preserve">Adults</t>
  </si>
  <si>
    <t xml:space="preserve">Other adults</t>
  </si>
  <si>
    <t xml:space="preserve">Individuals with disabilities (&lt;65)</t>
  </si>
  <si>
    <t xml:space="preserve">Disabled</t>
  </si>
  <si>
    <t xml:space="preserve">Aged 65+</t>
  </si>
  <si>
    <t xml:space="preserve">Aged</t>
  </si>
  <si>
    <t xml:space="preserve">Adults (incl. expansion)</t>
  </si>
  <si>
    <t xml:space="preserve">Disabled (&lt;65)</t>
  </si>
  <si>
    <t xml:space="preserve">Aged (65+)</t>
  </si>
  <si>
    <t xml:space="preserve">Total (column margins)</t>
  </si>
  <si>
    <t xml:space="preserve">IPF-BALANCED CROSS-TAB - share of each service consumed by each group</t>
  </si>
  <si>
    <t xml:space="preserve">Service node</t>
  </si>
  <si>
    <t xml:space="preserve">Row total</t>
  </si>
  <si>
    <t xml:space="preserve">Node $ (per $100)</t>
  </si>
  <si>
    <t xml:space="preserve">Group $ (= service$ x share, summed)</t>
  </si>
  <si>
    <t xml:space="preserve">Target group $ (column margins)</t>
  </si>
  <si>
    <t xml:space="preserve">Columns reconcile to within rounding; LTC reads ~90% Disabled + Aged, behavioral health ~79% Adults + Disabled.</t>
  </si>
  <si>
    <t xml:space="preserve">Leakages - true losses off the flow</t>
  </si>
  <si>
    <t xml:space="preserve">Plan-retained dollars and documented fraud are true leakages (gone from care). Per $100 of total Medicaid spending.</t>
  </si>
  <si>
    <t xml:space="preserve">1 - PLAN RETAINED (peels up off the two capitated lanes)</t>
  </si>
  <si>
    <t xml:space="preserve">Component</t>
  </si>
  <si>
    <t xml:space="preserve">Capitation base (per $100 total)</t>
  </si>
  <si>
    <t xml:space="preserve">Medicaid HBR ~88-91%</t>
  </si>
  <si>
    <t xml:space="preserve">Plan admin (SG&amp;A)</t>
  </si>
  <si>
    <t xml:space="preserve">Big-Five SG&amp;A ~8-9%</t>
  </si>
  <si>
    <t xml:space="preserve">Underwriting margin (1 - MLR - admin)</t>
  </si>
  <si>
    <t xml:space="preserve">thin; MLR floor 85%</t>
  </si>
  <si>
    <t xml:space="preserve">  Plan admin retained</t>
  </si>
  <si>
    <t xml:space="preserve">  Margin retained</t>
  </si>
  <si>
    <t xml:space="preserve">     of which public-company earnings - ESTIMATE</t>
  </si>
  <si>
    <t xml:space="preserve">both lanes</t>
  </si>
  <si>
    <t xml:space="preserve">subset of margin; pending 10-K (A5)</t>
  </si>
  <si>
    <t xml:space="preserve">Total plan-retained (both lanes)</t>
  </si>
  <si>
    <t xml:space="preserve">about $5.61 per $100</t>
  </si>
  <si>
    <t xml:space="preserve">  Plan administration (ex-earnings, both lanes)</t>
  </si>
  <si>
    <t xml:space="preserve">    of which by lane (retention share)</t>
  </si>
  <si>
    <t xml:space="preserve">MCO lane ~$3.81  |  dual-MCO lane ~$1.04</t>
  </si>
  <si>
    <t xml:space="preserve">Dual plans carry the same carve as MCOs (A9); the dual lane's plan administration (~$1.04) is shown explicitly above. Duals' FFS spending has no carve and sits in the FFS lane.</t>
  </si>
  <si>
    <t xml:space="preserve">2 - DOCUMENTED FRAUD (true loss, off providers)</t>
  </si>
  <si>
    <t xml:space="preserve">MFCU recoveries, FY2024 ($M)</t>
  </si>
  <si>
    <t xml:space="preserve">OIG FY2024 ($961M crim + $407M civ)</t>
  </si>
  <si>
    <t xml:space="preserve">As % of benefit spending</t>
  </si>
  <si>
    <t xml:space="preserve">Recoveries understate total fraud; used as a documented true-loss proxy (A7). Drawn not-to-scale on the graphic.</t>
  </si>
  <si>
    <t xml:space="preserve">PERM improper-payment overlays were removed in v3 (flagged-not-lost; they confused the loss narrative).</t>
  </si>
  <si>
    <t xml:space="preserve">Sources</t>
  </si>
  <si>
    <t xml:space="preserve">All accessed 8 June 2026. Federal fiscal year unless noted.</t>
  </si>
  <si>
    <t xml:space="preserve">#</t>
  </si>
  <si>
    <t xml:space="preserve">Source</t>
  </si>
  <si>
    <t xml:space="preserve">Vintage</t>
  </si>
  <si>
    <t xml:space="preserve">Reference / URL</t>
  </si>
  <si>
    <t xml:space="preserve">MACStats Feb 2026 - Ex.17 Total Benefit Spending by Category</t>
  </si>
  <si>
    <t xml:space="preserve">FY2024</t>
  </si>
  <si>
    <t xml:space="preserve">macpac.gov MACStats Ex.17</t>
  </si>
  <si>
    <t xml:space="preserve">MACStats Feb 2026 - Ex.16 Spending by Source of Funds (federal 64.7%)</t>
  </si>
  <si>
    <t xml:space="preserve">macpac.gov/publication/medicaid-spending-by-state-category-and-source-of-funds/</t>
  </si>
  <si>
    <t xml:space="preserve">MACStats Feb 2026 - Ex.21 Spending by Eligibility Group &amp; Dual Status</t>
  </si>
  <si>
    <t xml:space="preserve">FY2023</t>
  </si>
  <si>
    <t xml:space="preserve">macpac.gov MACStats Ex.21</t>
  </si>
  <si>
    <t xml:space="preserve">CMS NHE Highlights - Medicaid $931.7B, 84.3M enrollees</t>
  </si>
  <si>
    <t xml:space="preserve">CY2024</t>
  </si>
  <si>
    <t xml:space="preserve">cms.gov/files/document/highlights.pdf</t>
  </si>
  <si>
    <t xml:space="preserve">HMA, 'New Insights on Medicaid Spending' - T-MSIS service mix (MC key)</t>
  </si>
  <si>
    <t xml:space="preserve">CY2021/23</t>
  </si>
  <si>
    <t xml:space="preserve">healthmanagement.com/.../New-Insights-on-Medicaid-Spending-1.pdf</t>
  </si>
  <si>
    <t xml:space="preserve">MedPAC-MACPAC, Duals Data Book - dual Medicaid $197.4B; Ex.12/16/18</t>
  </si>
  <si>
    <t xml:space="preserve">CY2022</t>
  </si>
  <si>
    <t xml:space="preserve">medpac.gov/.../Dec25_MedPAC_MACPAC_DualsDataBook-WEB508-FINAL.pdf</t>
  </si>
  <si>
    <t xml:space="preserve">HHS-OIG / MFCU Annual Report - $1.4B recovered</t>
  </si>
  <si>
    <t xml:space="preserve">oig.hhs.gov MFCU FY2024 statistical report</t>
  </si>
  <si>
    <t xml:space="preserve">Georgetown CCF - Big Five Medicaid MLR (Centene 90.9%, Molina 89.7%)</t>
  </si>
  <si>
    <t xml:space="preserve">2024</t>
  </si>
  <si>
    <t xml:space="preserve">ccf.georgetown.edu/2024/05/21/...big-five...</t>
  </si>
  <si>
    <t xml:space="preserve">Centene Corp SEC filings - Medicaid HBR &amp; SG&amp;A ratio</t>
  </si>
  <si>
    <t xml:space="preserve">sec.gov EDGAR CIK 0001071739</t>
  </si>
  <si>
    <t xml:space="preserve">Commonwealth Fund - Medicaid's Role in Mental Health &amp; Substance Use Care ($58B MH + $17B SUD)</t>
  </si>
  <si>
    <t xml:space="preserve">2019 data</t>
  </si>
  <si>
    <t xml:space="preserve">commonwealthfund.org/publications/explainer/2025/may/medicaids-role-mental-health-and-substance-use-care</t>
  </si>
  <si>
    <t xml:space="preserve">Psychiatric Services (APA) - Medicaid behavioral health = 9.3-13% of spending</t>
  </si>
  <si>
    <t xml:space="preserve">review</t>
  </si>
  <si>
    <t xml:space="preserve">psychiatryonline.org/doi/full/10.1176/appi.ps.54.2.188</t>
  </si>
  <si>
    <t xml:space="preserve">KFF - Medicaid Mental Health &amp; Substance Use: Expansion Trends</t>
  </si>
  <si>
    <t xml:space="preserve">2025</t>
  </si>
  <si>
    <t xml:space="preserve">kff.org/medicaid/medicaid-mental-health-and-substance-use-expansion-trends-and-the-fiscal-pressure-ahead/</t>
  </si>
  <si>
    <t xml:space="preserve">Assumptions &amp; Mapping Decisions</t>
  </si>
  <si>
    <t xml:space="preserve">Each item is a modeling choice or known data gap. Yellow = needs attention / pending data.</t>
  </si>
  <si>
    <t xml:space="preserve">Topic</t>
  </si>
  <si>
    <t xml:space="preserve">Decision / gap</t>
  </si>
  <si>
    <t xml:space="preserve">A1</t>
  </si>
  <si>
    <t xml:space="preserve">Basis: the $100 combined dollar</t>
  </si>
  <si>
    <t xml:space="preserve">The unit is $100 of TOTAL Medicaid outlays (benefits + admin), split federal $64.70 / state $35.30 at the 64.7% benefit share. Admin is jointly funded, so the true federal share of the combined dollar is ~64%; the headline 64.7% is used for the entry split.</t>
  </si>
  <si>
    <t xml:space="preserve">A2</t>
  </si>
  <si>
    <t xml:space="preserve">Managed-care service allocation</t>
  </si>
  <si>
    <t xml:space="preserve">Capitation is one CMS-64 line. The two modeled lanes are itemised across nodes with the HMA T-MSIS service mix, which prices MC encounters at FFS/Medicare rates. HMA 'Professional' unbundles hospital-based physician work that CMS-64 bundles into Hospital, so Physicians &amp; clinics is overstated and Hospitals understated vs CMS-64 convention.</t>
  </si>
  <si>
    <t xml:space="preserve">A3</t>
  </si>
  <si>
    <t xml:space="preserve">Eligibility-group vintage</t>
  </si>
  <si>
    <t xml:space="preserve">Group spending shares are FY2023 (latest T-MSIS) applied to FY2024 totals.</t>
  </si>
  <si>
    <t xml:space="preserve">A4</t>
  </si>
  <si>
    <t xml:space="preserve">FQHC handling (MERGED)</t>
  </si>
  <si>
    <t xml:space="preserve">FQHC is clean (~$19B) on the FFS side but not separable in the HMA mix on the capitated side. Rather than show an FFS-only FQHC node that understates it, FQHC is MERGED into Physicians &amp; clinics - completing the clinician number.</t>
  </si>
  <si>
    <t xml:space="preserve">A5</t>
  </si>
  <si>
    <t xml:space="preserve">Public-company earnings carve</t>
  </si>
  <si>
    <t xml:space="preserve">Shareholder net earnings (Medicaid-attributable) is a subset of margin, estimated at $0.76 per $100, pending 10-K segment allocation. Highest-uncertainty figure; never additive to margin.</t>
  </si>
  <si>
    <t xml:space="preserve">A6</t>
  </si>
  <si>
    <t xml:space="preserve">Drugs net of rebates</t>
  </si>
  <si>
    <t xml:space="preserve">Drugs shown net of manufacturer rebates (CMS-64 already net); rebate loop-back excluded.</t>
  </si>
  <si>
    <t xml:space="preserve">A7</t>
  </si>
  <si>
    <t xml:space="preserve">Fraud proxy</t>
  </si>
  <si>
    <t xml:space="preserve">Documented fraud uses MFCU recoveries, which understate total fraud. True loss off providers; drawn not-to-scale.</t>
  </si>
  <si>
    <t xml:space="preserve">A8</t>
  </si>
  <si>
    <t xml:space="preserve">PERM removed</t>
  </si>
  <si>
    <t xml:space="preserve">PERM improper-payment overlays were dropped in v3: they are flagged-not-lost and confused the loss narrative.</t>
  </si>
  <si>
    <t xml:space="preserve">A9</t>
  </si>
  <si>
    <t xml:space="preserve">Duals scope &amp; lane</t>
  </si>
  <si>
    <t xml:space="preserve">Duals carry Medicaid dollars only. The dual LANE is dual managed-care capitation only (it carries the plan carve); duals' FFS spending sits in the FFS lane. Medicare premiums for duals ($27.8B) peel out at the agency.</t>
  </si>
  <si>
    <t xml:space="preserve">A10</t>
  </si>
  <si>
    <t xml:space="preserve">Reporting-window mismatch</t>
  </si>
  <si>
    <t xml:space="preserve">CMS-64 (federal FY), NHE (CY), MCO 10-Ks (company FY), Duals Data Book (CY2022), HMA mix (CY2021) differ. Anchored to FY2024 where possible; others are cross-checks.</t>
  </si>
  <si>
    <t xml:space="preserve">A11</t>
  </si>
  <si>
    <t xml:space="preserve">Dual capitation split (Lane 2)</t>
  </si>
  <si>
    <t xml:space="preserve">Dual MC capitation triangulated at ~$106B (band $100-115B) from the CY2022 Duals Data Book. The model's softest number.</t>
  </si>
  <si>
    <t xml:space="preserve">A12</t>
  </si>
  <si>
    <t xml:space="preserve">Behavioral health (cross-cutting carve)</t>
  </si>
  <si>
    <t xml:space="preserve">BH is ~9.3-13% of Medicaid spending (APA/Psychiatric Services claims-based review) and Medicaid is the largest U.S. BH payer (~24% of all national BH spending, MACPAC). BH has NO single CMS-64 line - it sits in inpatient psych (Hospitals), psychiatry/therapy/CMHC (Physicians &amp; clinics), rehab/residential/community/case-management (Other, its largest source), psychotropics (Rx) and a little psychiatric residential (LTC). The $9.51 node (~11% of service dollars) is carved proportionally from those five lines; per-line splits are estimates pending T-MSIS. Its beneficiary pie (heavy Adults + Disabled) is likewise estimated.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</si>
</sst>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\$#,##0.00;&quot;($&quot;#,##0.00\);\-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5F"/>
        <bgColor rgb="FF333333"/>
      </patternFill>
    </fill>
    <fill>
      <patternFill patternType="solid">
        <fgColor rgb="FFF1EFE8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6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6" customFormat="false" ht="73.5" hidden="false" customHeight="true" outlineLevel="0" collapsed="false">
      <c r="B6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5" t="s">
        <v>5</v>
      </c>
    </row>
    <row r="10" customFormat="false" ht="15" hidden="false" customHeight="false" outlineLevel="0" collapsed="false">
      <c r="B10" s="6" t="s">
        <v>6</v>
      </c>
    </row>
    <row r="11" customFormat="false" ht="15" hidden="false" customHeight="false" outlineLevel="0" collapsed="false">
      <c r="B11" s="7" t="s">
        <v>7</v>
      </c>
    </row>
    <row r="13" customFormat="false" ht="15" hidden="false" customHeight="false" outlineLevel="0" collapsed="false">
      <c r="B13" s="3" t="s">
        <v>8</v>
      </c>
    </row>
    <row r="14" customFormat="false" ht="43.5" hidden="false" customHeight="true" outlineLevel="0" collapsed="false">
      <c r="B14" s="4" t="s">
        <v>9</v>
      </c>
    </row>
    <row r="15" customFormat="false" ht="43.5" hidden="false" customHeight="true" outlineLevel="0" collapsed="false">
      <c r="B15" s="4" t="s">
        <v>10</v>
      </c>
    </row>
    <row r="16" customFormat="false" ht="43.5" hidden="false" customHeight="true" outlineLevel="0" collapsed="false">
      <c r="B16" s="4" t="s">
        <v>11</v>
      </c>
    </row>
    <row r="17" customFormat="false" ht="43.5" hidden="false" customHeight="true" outlineLevel="0" collapsed="false">
      <c r="B17" s="4" t="s">
        <v>12</v>
      </c>
    </row>
    <row r="18" customFormat="false" ht="43.5" hidden="false" customHeight="true" outlineLevel="0" collapsed="false">
      <c r="B18" s="4" t="s">
        <v>13</v>
      </c>
    </row>
    <row r="20" customFormat="false" ht="15" hidden="false" customHeight="false" outlineLevel="0" collapsed="false">
      <c r="B20" s="3" t="s">
        <v>14</v>
      </c>
    </row>
    <row r="21" customFormat="false" ht="25.5" hidden="false" customHeight="true" outlineLevel="0" collapsed="false">
      <c r="B21" s="4" t="s">
        <v>15</v>
      </c>
    </row>
    <row r="22" customFormat="false" ht="25.5" hidden="false" customHeight="true" outlineLevel="0" collapsed="false">
      <c r="B22" s="4" t="s">
        <v>16</v>
      </c>
    </row>
    <row r="23" customFormat="false" ht="25.5" hidden="false" customHeight="true" outlineLevel="0" collapsed="false">
      <c r="B23" s="4" t="s">
        <v>17</v>
      </c>
    </row>
    <row r="24" customFormat="false" ht="25.5" hidden="false" customHeight="true" outlineLevel="0" collapsed="false">
      <c r="B24" s="4" t="s">
        <v>18</v>
      </c>
    </row>
    <row r="25" customFormat="false" ht="25.5" hidden="false" customHeight="true" outlineLevel="0" collapsed="false">
      <c r="B25" s="4" t="s">
        <v>19</v>
      </c>
    </row>
    <row r="26" customFormat="false" ht="25.5" hidden="false" customHeight="true" outlineLevel="0" collapsed="false">
      <c r="B26" s="4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2"/>
  </cols>
  <sheetData>
    <row r="1" customFormat="false" ht="17.35" hidden="false" customHeight="false" outlineLevel="0" collapsed="false">
      <c r="A1" s="1" t="s">
        <v>21</v>
      </c>
    </row>
    <row r="2" customFormat="false" ht="15" hidden="false" customHeight="false" outlineLevel="0" collapsed="false">
      <c r="A2" s="2" t="s">
        <v>22</v>
      </c>
    </row>
    <row r="4" customFormat="false" ht="15" hidden="false" customHeight="false" outlineLevel="0" collapsed="false">
      <c r="A4" s="8" t="s">
        <v>23</v>
      </c>
      <c r="B4" s="9"/>
      <c r="C4" s="9"/>
      <c r="D4" s="9"/>
      <c r="E4" s="9"/>
    </row>
    <row r="5" customFormat="false" ht="15" hidden="false" customHeight="false" outlineLevel="0" collapsed="false">
      <c r="A5" s="6" t="s">
        <v>24</v>
      </c>
      <c r="B5" s="10" t="n">
        <v>957400</v>
      </c>
      <c r="C5" s="6" t="s">
        <v>25</v>
      </c>
      <c r="D5" s="6" t="s">
        <v>26</v>
      </c>
    </row>
    <row r="6" customFormat="false" ht="15" hidden="false" customHeight="false" outlineLevel="0" collapsed="false">
      <c r="A6" s="6" t="s">
        <v>27</v>
      </c>
      <c r="B6" s="10" t="n">
        <v>908839</v>
      </c>
      <c r="C6" s="6" t="s">
        <v>25</v>
      </c>
      <c r="D6" s="6" t="s">
        <v>28</v>
      </c>
    </row>
    <row r="7" customFormat="false" ht="15" hidden="false" customHeight="false" outlineLevel="0" collapsed="false">
      <c r="A7" s="6" t="s">
        <v>29</v>
      </c>
      <c r="B7" s="11" t="n">
        <f aca="false">B5-B6</f>
        <v>48561</v>
      </c>
      <c r="C7" s="6" t="s">
        <v>25</v>
      </c>
      <c r="D7" s="6" t="s">
        <v>30</v>
      </c>
    </row>
    <row r="8" customFormat="false" ht="15" hidden="false" customHeight="false" outlineLevel="0" collapsed="false">
      <c r="A8" s="6" t="s">
        <v>31</v>
      </c>
      <c r="B8" s="12" t="n">
        <v>0.647</v>
      </c>
      <c r="D8" s="6" t="s">
        <v>32</v>
      </c>
    </row>
    <row r="9" customFormat="false" ht="15" hidden="false" customHeight="false" outlineLevel="0" collapsed="false">
      <c r="A9" s="6" t="s">
        <v>33</v>
      </c>
      <c r="B9" s="13" t="n">
        <f aca="false">1-B8</f>
        <v>0.353</v>
      </c>
      <c r="D9" s="6" t="s">
        <v>30</v>
      </c>
    </row>
    <row r="10" customFormat="false" ht="15" hidden="false" customHeight="false" outlineLevel="0" collapsed="false">
      <c r="A10" s="6" t="s">
        <v>34</v>
      </c>
      <c r="B10" s="10" t="n">
        <v>931700</v>
      </c>
      <c r="C10" s="6" t="s">
        <v>25</v>
      </c>
      <c r="D10" s="6" t="s">
        <v>35</v>
      </c>
    </row>
    <row r="12" customFormat="false" ht="15" hidden="false" customHeight="false" outlineLevel="0" collapsed="false">
      <c r="A12" s="8" t="s">
        <v>36</v>
      </c>
      <c r="B12" s="9"/>
      <c r="C12" s="9"/>
      <c r="D12" s="9"/>
      <c r="E12" s="9"/>
    </row>
    <row r="13" customFormat="false" ht="15" hidden="false" customHeight="false" outlineLevel="0" collapsed="false">
      <c r="A13" s="14" t="s">
        <v>37</v>
      </c>
      <c r="B13" s="14" t="s">
        <v>38</v>
      </c>
      <c r="C13" s="14"/>
      <c r="D13" s="14" t="s">
        <v>39</v>
      </c>
      <c r="E13" s="14" t="s">
        <v>40</v>
      </c>
    </row>
    <row r="14" customFormat="false" ht="15" hidden="false" customHeight="false" outlineLevel="0" collapsed="false">
      <c r="A14" s="6" t="s">
        <v>41</v>
      </c>
      <c r="B14" s="15" t="n">
        <f aca="false">B8*100</f>
        <v>64.7</v>
      </c>
      <c r="D14" s="6" t="s">
        <v>42</v>
      </c>
    </row>
    <row r="15" customFormat="false" ht="15" hidden="false" customHeight="false" outlineLevel="0" collapsed="false">
      <c r="A15" s="6" t="s">
        <v>43</v>
      </c>
      <c r="B15" s="15" t="n">
        <f aca="false">B9*100</f>
        <v>35.3</v>
      </c>
      <c r="D15" s="6" t="s">
        <v>44</v>
      </c>
    </row>
    <row r="16" customFormat="false" ht="15" hidden="false" customHeight="false" outlineLevel="0" collapsed="false">
      <c r="A16" s="6" t="s">
        <v>45</v>
      </c>
      <c r="B16" s="16" t="n">
        <f aca="false">B14+B15</f>
        <v>100</v>
      </c>
    </row>
    <row r="17" customFormat="false" ht="15" hidden="false" customHeight="false" outlineLevel="0" collapsed="false">
      <c r="A17" s="6" t="s">
        <v>46</v>
      </c>
      <c r="B17" s="15" t="n">
        <v>-5.07</v>
      </c>
      <c r="D17" s="13" t="n">
        <f aca="false">B7/B5</f>
        <v>0.0507217463964905</v>
      </c>
      <c r="E17" s="4" t="s">
        <v>47</v>
      </c>
    </row>
    <row r="18" customFormat="false" ht="15" hidden="false" customHeight="false" outlineLevel="0" collapsed="false">
      <c r="A18" s="6" t="s">
        <v>48</v>
      </c>
      <c r="B18" s="15" t="n">
        <v>-2.9</v>
      </c>
      <c r="D18" s="10" t="n">
        <v>27774</v>
      </c>
      <c r="E18" s="4" t="s">
        <v>49</v>
      </c>
    </row>
    <row r="19" customFormat="false" ht="15" hidden="false" customHeight="false" outlineLevel="0" collapsed="false">
      <c r="A19" s="6" t="s">
        <v>50</v>
      </c>
      <c r="B19" s="16" t="n">
        <f aca="false">B16+B17+B18</f>
        <v>92.03</v>
      </c>
      <c r="E19" s="4" t="s">
        <v>51</v>
      </c>
    </row>
    <row r="21" customFormat="false" ht="15" hidden="false" customHeight="false" outlineLevel="0" collapsed="false">
      <c r="A21" s="8" t="s">
        <v>52</v>
      </c>
      <c r="B21" s="9"/>
      <c r="C21" s="9"/>
      <c r="D21" s="9"/>
      <c r="E21" s="9"/>
    </row>
    <row r="22" customFormat="false" ht="15" hidden="false" customHeight="false" outlineLevel="0" collapsed="false">
      <c r="A22" s="14" t="s">
        <v>53</v>
      </c>
      <c r="B22" s="14" t="s">
        <v>54</v>
      </c>
      <c r="C22" s="14" t="s">
        <v>55</v>
      </c>
      <c r="D22" s="14" t="s">
        <v>56</v>
      </c>
      <c r="E22" s="14" t="s">
        <v>57</v>
      </c>
    </row>
    <row r="23" customFormat="false" ht="15" hidden="false" customHeight="false" outlineLevel="0" collapsed="false">
      <c r="A23" s="6" t="s">
        <v>58</v>
      </c>
      <c r="B23" s="10" t="n">
        <v>496097</v>
      </c>
      <c r="C23" s="13" t="n">
        <f aca="false">B23/B27</f>
        <v>0.553618517596828</v>
      </c>
      <c r="D23" s="15" t="n">
        <f aca="false">C23*$B$19</f>
        <v>50.9495121744361</v>
      </c>
      <c r="E23" s="4" t="s">
        <v>59</v>
      </c>
    </row>
    <row r="24" customFormat="false" ht="15" hidden="false" customHeight="false" outlineLevel="0" collapsed="false">
      <c r="A24" s="6" t="s">
        <v>60</v>
      </c>
      <c r="B24" s="11" t="n">
        <f aca="false">B23-B25</f>
        <v>390097</v>
      </c>
      <c r="C24" s="13" t="n">
        <f aca="false">B24/B27</f>
        <v>0.435328016212494</v>
      </c>
      <c r="D24" s="15" t="n">
        <f aca="false">C24*$B$19</f>
        <v>40.0632373320359</v>
      </c>
      <c r="E24" s="4" t="s">
        <v>61</v>
      </c>
    </row>
    <row r="25" customFormat="false" ht="15" hidden="false" customHeight="false" outlineLevel="0" collapsed="false">
      <c r="A25" s="6" t="s">
        <v>62</v>
      </c>
      <c r="B25" s="17" t="n">
        <v>106000</v>
      </c>
      <c r="C25" s="13" t="n">
        <f aca="false">B25/B27</f>
        <v>0.118290501384334</v>
      </c>
      <c r="D25" s="15" t="n">
        <f aca="false">C25*$B$19</f>
        <v>10.8862748424002</v>
      </c>
      <c r="E25" s="18" t="s">
        <v>63</v>
      </c>
    </row>
    <row r="26" customFormat="false" ht="15" hidden="false" customHeight="false" outlineLevel="0" collapsed="false">
      <c r="A26" s="6" t="s">
        <v>64</v>
      </c>
      <c r="B26" s="10" t="n">
        <v>400002</v>
      </c>
      <c r="C26" s="13" t="n">
        <f aca="false">B26/B27</f>
        <v>0.446381482403172</v>
      </c>
      <c r="D26" s="15" t="n">
        <f aca="false">C26*$B$19</f>
        <v>41.0804878255639</v>
      </c>
      <c r="E26" s="4" t="s">
        <v>65</v>
      </c>
    </row>
    <row r="27" customFormat="false" ht="15" hidden="false" customHeight="false" outlineLevel="0" collapsed="false">
      <c r="A27" s="6" t="s">
        <v>66</v>
      </c>
      <c r="B27" s="11" t="n">
        <f aca="false">B23+B26</f>
        <v>896099</v>
      </c>
      <c r="E27" s="4" t="s">
        <v>67</v>
      </c>
    </row>
    <row r="28" customFormat="false" ht="15" hidden="false" customHeight="false" outlineLevel="0" collapsed="false">
      <c r="A28" s="6" t="s">
        <v>68</v>
      </c>
      <c r="B28" s="15" t="n">
        <f aca="false">D23+D26</f>
        <v>92.03</v>
      </c>
      <c r="D28" s="15" t="n">
        <f aca="false">B19</f>
        <v>92.03</v>
      </c>
      <c r="E28" s="4" t="s">
        <v>69</v>
      </c>
    </row>
    <row r="30" customFormat="false" ht="15" hidden="false" customHeight="false" outlineLevel="0" collapsed="false">
      <c r="A30" s="8" t="s">
        <v>70</v>
      </c>
      <c r="B30" s="9"/>
      <c r="C30" s="9"/>
      <c r="D30" s="9"/>
      <c r="E30" s="9"/>
    </row>
    <row r="31" customFormat="false" ht="15" hidden="false" customHeight="false" outlineLevel="0" collapsed="false">
      <c r="A31" s="6" t="s">
        <v>71</v>
      </c>
      <c r="B31" s="12" t="n">
        <v>0.89</v>
      </c>
      <c r="E31" s="4" t="s">
        <v>72</v>
      </c>
    </row>
    <row r="32" customFormat="false" ht="15" hidden="false" customHeight="false" outlineLevel="0" collapsed="false">
      <c r="A32" s="6" t="s">
        <v>73</v>
      </c>
      <c r="B32" s="15" t="n">
        <f aca="false">D24*B31</f>
        <v>35.6562812255119</v>
      </c>
    </row>
    <row r="33" customFormat="false" ht="15" hidden="false" customHeight="false" outlineLevel="0" collapsed="false">
      <c r="A33" s="6" t="s">
        <v>74</v>
      </c>
      <c r="B33" s="15" t="n">
        <f aca="false">D25*B31</f>
        <v>9.6887846097362</v>
      </c>
    </row>
    <row r="34" customFormat="false" ht="15" hidden="false" customHeight="false" outlineLevel="0" collapsed="false">
      <c r="A34" s="6" t="s">
        <v>75</v>
      </c>
      <c r="B34" s="15" t="n">
        <f aca="false">(D24+D25)*(1-B31)</f>
        <v>5.60444633918797</v>
      </c>
      <c r="E34" s="4" t="s">
        <v>76</v>
      </c>
    </row>
    <row r="35" customFormat="false" ht="15" hidden="false" customHeight="false" outlineLevel="0" collapsed="false">
      <c r="A35" s="6" t="s">
        <v>77</v>
      </c>
      <c r="B35" s="15" t="n">
        <f aca="false">D26</f>
        <v>41.0804878255639</v>
      </c>
    </row>
    <row r="36" customFormat="false" ht="15" hidden="false" customHeight="false" outlineLevel="0" collapsed="false">
      <c r="A36" s="6" t="s">
        <v>78</v>
      </c>
      <c r="B36" s="16" t="n">
        <f aca="false">B32+B33+B35</f>
        <v>86.425553660812</v>
      </c>
    </row>
    <row r="38" customFormat="false" ht="15" hidden="false" customHeight="false" outlineLevel="0" collapsed="false">
      <c r="A38" s="8" t="s">
        <v>79</v>
      </c>
      <c r="B38" s="9"/>
      <c r="C38" s="9"/>
      <c r="D38" s="9"/>
      <c r="E38" s="9"/>
    </row>
    <row r="39" customFormat="false" ht="15" hidden="false" customHeight="false" outlineLevel="0" collapsed="false">
      <c r="A39" s="14" t="s">
        <v>80</v>
      </c>
      <c r="B39" s="14" t="s">
        <v>25</v>
      </c>
      <c r="C39" s="14" t="s">
        <v>81</v>
      </c>
      <c r="D39" s="14" t="s">
        <v>82</v>
      </c>
      <c r="E39" s="14" t="s">
        <v>40</v>
      </c>
    </row>
    <row r="40" customFormat="false" ht="15" hidden="false" customHeight="false" outlineLevel="0" collapsed="false">
      <c r="A40" s="6" t="s">
        <v>83</v>
      </c>
      <c r="B40" s="10" t="n">
        <v>91443</v>
      </c>
      <c r="C40" s="13" t="n">
        <f aca="false">B40/$B$49</f>
        <v>0.228606356968215</v>
      </c>
      <c r="D40" s="6" t="s">
        <v>84</v>
      </c>
      <c r="E40" s="4"/>
    </row>
    <row r="41" customFormat="false" ht="15" hidden="false" customHeight="false" outlineLevel="0" collapsed="false">
      <c r="A41" s="6" t="s">
        <v>85</v>
      </c>
      <c r="B41" s="10" t="n">
        <v>9534</v>
      </c>
      <c r="C41" s="13" t="n">
        <f aca="false">B41/$B$49</f>
        <v>0.0238348808255959</v>
      </c>
      <c r="D41" s="6" t="s">
        <v>86</v>
      </c>
      <c r="E41" s="4"/>
    </row>
    <row r="42" customFormat="false" ht="15" hidden="false" customHeight="false" outlineLevel="0" collapsed="false">
      <c r="A42" s="6" t="s">
        <v>87</v>
      </c>
      <c r="B42" s="10" t="n">
        <v>3660</v>
      </c>
      <c r="C42" s="13" t="n">
        <f aca="false">B42/$B$49</f>
        <v>0.00914995425022875</v>
      </c>
      <c r="D42" s="6" t="s">
        <v>86</v>
      </c>
      <c r="E42" s="4" t="s">
        <v>88</v>
      </c>
    </row>
    <row r="43" customFormat="false" ht="15" hidden="false" customHeight="false" outlineLevel="0" collapsed="false">
      <c r="A43" s="6" t="s">
        <v>89</v>
      </c>
      <c r="B43" s="10" t="n">
        <v>19295</v>
      </c>
      <c r="C43" s="13" t="n">
        <f aca="false">B43/$B$49</f>
        <v>0.0482372588137059</v>
      </c>
      <c r="D43" s="6" t="s">
        <v>86</v>
      </c>
      <c r="E43" s="18" t="s">
        <v>90</v>
      </c>
    </row>
    <row r="44" customFormat="false" ht="15" hidden="false" customHeight="false" outlineLevel="0" collapsed="false">
      <c r="A44" s="6" t="s">
        <v>91</v>
      </c>
      <c r="B44" s="10" t="n">
        <v>6186</v>
      </c>
      <c r="C44" s="13" t="n">
        <f aca="false">B44/$B$49</f>
        <v>0.0154649226753866</v>
      </c>
      <c r="D44" s="6" t="s">
        <v>92</v>
      </c>
      <c r="E44" s="4"/>
    </row>
    <row r="45" customFormat="false" ht="15" hidden="false" customHeight="false" outlineLevel="0" collapsed="false">
      <c r="A45" s="6" t="s">
        <v>93</v>
      </c>
      <c r="B45" s="10" t="n">
        <v>55098</v>
      </c>
      <c r="C45" s="13" t="n">
        <f aca="false">B45/$B$49</f>
        <v>0.137744311278444</v>
      </c>
      <c r="D45" s="6" t="s">
        <v>92</v>
      </c>
      <c r="E45" s="4" t="s">
        <v>94</v>
      </c>
    </row>
    <row r="46" customFormat="false" ht="15" hidden="false" customHeight="false" outlineLevel="0" collapsed="false">
      <c r="A46" s="6" t="s">
        <v>95</v>
      </c>
      <c r="B46" s="10" t="n">
        <v>20206</v>
      </c>
      <c r="C46" s="13" t="n">
        <f aca="false">B46/$B$49</f>
        <v>0.0505147474262629</v>
      </c>
      <c r="D46" s="6" t="s">
        <v>96</v>
      </c>
      <c r="E46" s="4"/>
    </row>
    <row r="47" customFormat="false" ht="15" hidden="false" customHeight="false" outlineLevel="0" collapsed="false">
      <c r="A47" s="6" t="s">
        <v>97</v>
      </c>
      <c r="B47" s="10" t="n">
        <v>64628</v>
      </c>
      <c r="C47" s="13" t="n">
        <f aca="false">B47/$B$49</f>
        <v>0.161569192154039</v>
      </c>
      <c r="D47" s="6" t="s">
        <v>98</v>
      </c>
      <c r="E47" s="4"/>
    </row>
    <row r="48" customFormat="false" ht="15" hidden="false" customHeight="false" outlineLevel="0" collapsed="false">
      <c r="A48" s="6" t="s">
        <v>99</v>
      </c>
      <c r="B48" s="10" t="n">
        <v>129952</v>
      </c>
      <c r="C48" s="13" t="n">
        <f aca="false">B48/$B$49</f>
        <v>0.324878375608122</v>
      </c>
      <c r="D48" s="6" t="s">
        <v>98</v>
      </c>
      <c r="E48" s="4"/>
    </row>
    <row r="49" customFormat="false" ht="15" hidden="false" customHeight="false" outlineLevel="0" collapsed="false">
      <c r="A49" s="3" t="s">
        <v>100</v>
      </c>
      <c r="B49" s="19" t="n">
        <f aca="false">SUM(B40:B48)</f>
        <v>400002</v>
      </c>
      <c r="C49" s="13" t="n">
        <f aca="false">B49/B49</f>
        <v>1</v>
      </c>
    </row>
    <row r="51" customFormat="false" ht="15" hidden="false" customHeight="false" outlineLevel="0" collapsed="false">
      <c r="A51" s="8" t="s">
        <v>101</v>
      </c>
      <c r="B51" s="9"/>
      <c r="C51" s="9"/>
      <c r="D51" s="9"/>
      <c r="E51" s="9"/>
    </row>
    <row r="52" customFormat="false" ht="15" hidden="false" customHeight="false" outlineLevel="0" collapsed="false">
      <c r="A52" s="14" t="s">
        <v>102</v>
      </c>
      <c r="B52" s="14" t="s">
        <v>103</v>
      </c>
      <c r="C52" s="14" t="s">
        <v>82</v>
      </c>
      <c r="D52" s="14"/>
      <c r="E52" s="14" t="s">
        <v>40</v>
      </c>
    </row>
    <row r="53" customFormat="false" ht="15" hidden="false" customHeight="false" outlineLevel="0" collapsed="false">
      <c r="A53" s="6" t="s">
        <v>104</v>
      </c>
      <c r="B53" s="12" t="n">
        <v>0.154</v>
      </c>
      <c r="C53" s="6" t="s">
        <v>84</v>
      </c>
      <c r="E53" s="4"/>
    </row>
    <row r="54" customFormat="false" ht="15" hidden="false" customHeight="false" outlineLevel="0" collapsed="false">
      <c r="A54" s="6" t="s">
        <v>105</v>
      </c>
      <c r="B54" s="12" t="n">
        <v>0.084</v>
      </c>
      <c r="C54" s="6" t="s">
        <v>84</v>
      </c>
      <c r="E54" s="4"/>
    </row>
    <row r="55" customFormat="false" ht="26.85" hidden="false" customHeight="false" outlineLevel="0" collapsed="false">
      <c r="A55" s="6" t="s">
        <v>106</v>
      </c>
      <c r="B55" s="12" t="n">
        <v>0.251</v>
      </c>
      <c r="C55" s="6" t="s">
        <v>86</v>
      </c>
      <c r="E55" s="18" t="s">
        <v>107</v>
      </c>
    </row>
    <row r="56" customFormat="false" ht="15" hidden="false" customHeight="false" outlineLevel="0" collapsed="false">
      <c r="A56" s="6" t="s">
        <v>108</v>
      </c>
      <c r="B56" s="12" t="n">
        <v>0.197</v>
      </c>
      <c r="C56" s="6" t="s">
        <v>98</v>
      </c>
      <c r="E56" s="4"/>
    </row>
    <row r="57" customFormat="false" ht="15" hidden="false" customHeight="false" outlineLevel="0" collapsed="false">
      <c r="A57" s="6" t="s">
        <v>109</v>
      </c>
      <c r="B57" s="12" t="n">
        <v>0.079</v>
      </c>
      <c r="C57" s="6" t="s">
        <v>96</v>
      </c>
      <c r="E57" s="4"/>
    </row>
    <row r="58" customFormat="false" ht="15" hidden="false" customHeight="false" outlineLevel="0" collapsed="false">
      <c r="A58" s="6" t="s">
        <v>91</v>
      </c>
      <c r="B58" s="12" t="n">
        <v>0.048</v>
      </c>
      <c r="C58" s="6" t="s">
        <v>92</v>
      </c>
      <c r="E58" s="4"/>
    </row>
    <row r="59" customFormat="false" ht="15" hidden="false" customHeight="false" outlineLevel="0" collapsed="false">
      <c r="A59" s="6" t="s">
        <v>110</v>
      </c>
      <c r="B59" s="12" t="n">
        <v>0.187</v>
      </c>
      <c r="C59" s="6" t="s">
        <v>92</v>
      </c>
      <c r="E59" s="4" t="s">
        <v>111</v>
      </c>
    </row>
    <row r="60" customFormat="false" ht="15" hidden="false" customHeight="false" outlineLevel="0" collapsed="false">
      <c r="A60" s="3" t="s">
        <v>112</v>
      </c>
      <c r="B60" s="20" t="n">
        <f aca="false">SUM(B53:B59)</f>
        <v>1</v>
      </c>
    </row>
    <row r="62" customFormat="false" ht="15" hidden="false" customHeight="false" outlineLevel="0" collapsed="false">
      <c r="A62" s="8" t="s">
        <v>113</v>
      </c>
      <c r="B62" s="9"/>
      <c r="C62" s="9"/>
      <c r="D62" s="9"/>
      <c r="E62" s="9"/>
    </row>
    <row r="63" customFormat="false" ht="27.75" hidden="false" customHeight="true" outlineLevel="0" collapsed="false">
      <c r="A63" s="21" t="s">
        <v>114</v>
      </c>
      <c r="B63" s="21"/>
      <c r="C63" s="21"/>
      <c r="D63" s="21"/>
      <c r="E63" s="21"/>
    </row>
    <row r="64" customFormat="false" ht="15" hidden="false" customHeight="false" outlineLevel="0" collapsed="false">
      <c r="A64" s="14" t="s">
        <v>115</v>
      </c>
      <c r="B64" s="14" t="s">
        <v>38</v>
      </c>
      <c r="C64" s="14"/>
      <c r="D64" s="14" t="s">
        <v>116</v>
      </c>
      <c r="E64" s="14"/>
    </row>
    <row r="65" customFormat="false" ht="39.55" hidden="false" customHeight="false" outlineLevel="0" collapsed="false">
      <c r="A65" s="6" t="s">
        <v>92</v>
      </c>
      <c r="B65" s="22" t="n">
        <v>3.62</v>
      </c>
      <c r="D65" s="4" t="s">
        <v>117</v>
      </c>
    </row>
    <row r="66" customFormat="false" ht="39.55" hidden="false" customHeight="false" outlineLevel="0" collapsed="false">
      <c r="A66" s="6" t="s">
        <v>86</v>
      </c>
      <c r="B66" s="22" t="n">
        <v>2.09</v>
      </c>
      <c r="D66" s="4" t="s">
        <v>118</v>
      </c>
    </row>
    <row r="67" customFormat="false" ht="15" hidden="false" customHeight="false" outlineLevel="0" collapsed="false">
      <c r="A67" s="6" t="s">
        <v>96</v>
      </c>
      <c r="B67" s="22" t="n">
        <v>1.9</v>
      </c>
      <c r="D67" s="4" t="s">
        <v>119</v>
      </c>
    </row>
    <row r="68" customFormat="false" ht="26.85" hidden="false" customHeight="false" outlineLevel="0" collapsed="false">
      <c r="A68" s="6" t="s">
        <v>84</v>
      </c>
      <c r="B68" s="22" t="n">
        <v>1.52</v>
      </c>
      <c r="D68" s="4" t="s">
        <v>120</v>
      </c>
    </row>
    <row r="69" customFormat="false" ht="39.55" hidden="false" customHeight="false" outlineLevel="0" collapsed="false">
      <c r="A69" s="6" t="s">
        <v>98</v>
      </c>
      <c r="B69" s="22" t="n">
        <v>0.38</v>
      </c>
      <c r="D69" s="4" t="s">
        <v>121</v>
      </c>
    </row>
    <row r="70" customFormat="false" ht="26.85" hidden="false" customHeight="false" outlineLevel="0" collapsed="false">
      <c r="A70" s="3" t="s">
        <v>122</v>
      </c>
      <c r="B70" s="16" t="n">
        <f aca="false">SUM(B65:B69)</f>
        <v>9.51</v>
      </c>
      <c r="D70" s="4" t="s">
        <v>123</v>
      </c>
    </row>
    <row r="71" customFormat="false" ht="15" hidden="false" customHeight="false" outlineLevel="0" collapsed="false">
      <c r="A71" s="8" t="s">
        <v>124</v>
      </c>
      <c r="B71" s="9"/>
      <c r="C71" s="9"/>
      <c r="D71" s="9"/>
      <c r="E71" s="9"/>
    </row>
    <row r="72" customFormat="false" ht="15" hidden="false" customHeight="false" outlineLevel="0" collapsed="false">
      <c r="A72" s="14" t="s">
        <v>125</v>
      </c>
      <c r="B72" s="14" t="s">
        <v>126</v>
      </c>
      <c r="C72" s="14" t="s">
        <v>127</v>
      </c>
      <c r="D72" s="14" t="s">
        <v>128</v>
      </c>
      <c r="E72" s="14" t="s">
        <v>129</v>
      </c>
    </row>
    <row r="73" customFormat="false" ht="15" hidden="false" customHeight="false" outlineLevel="0" collapsed="false">
      <c r="A73" s="6" t="s">
        <v>98</v>
      </c>
      <c r="B73" s="15" t="n">
        <v>19.72</v>
      </c>
      <c r="C73" s="15" t="n">
        <v>6.93</v>
      </c>
      <c r="D73" s="15" t="n">
        <v>1.88</v>
      </c>
      <c r="E73" s="16" t="n">
        <f aca="false">B73+C73+D73</f>
        <v>28.53</v>
      </c>
    </row>
    <row r="74" customFormat="false" ht="15" hidden="false" customHeight="false" outlineLevel="0" collapsed="false">
      <c r="A74" s="6" t="s">
        <v>84</v>
      </c>
      <c r="B74" s="15" t="n">
        <v>8.68</v>
      </c>
      <c r="C74" s="15" t="n">
        <v>7.85</v>
      </c>
      <c r="D74" s="15" t="n">
        <v>2.13</v>
      </c>
      <c r="E74" s="16" t="n">
        <f aca="false">B74+C74+D74</f>
        <v>18.66</v>
      </c>
    </row>
    <row r="75" customFormat="false" ht="15" hidden="false" customHeight="false" outlineLevel="0" collapsed="false">
      <c r="A75" s="6" t="s">
        <v>92</v>
      </c>
      <c r="B75" s="15" t="n">
        <v>4.95</v>
      </c>
      <c r="C75" s="15" t="n">
        <v>6.59</v>
      </c>
      <c r="D75" s="15" t="n">
        <v>1.79</v>
      </c>
      <c r="E75" s="16" t="n">
        <f aca="false">B75+C75+D75</f>
        <v>13.33</v>
      </c>
    </row>
    <row r="76" customFormat="false" ht="15" hidden="false" customHeight="false" outlineLevel="0" collapsed="false">
      <c r="A76" s="6" t="s">
        <v>86</v>
      </c>
      <c r="B76" s="15" t="n">
        <v>2.86</v>
      </c>
      <c r="C76" s="15" t="n">
        <v>7.68</v>
      </c>
      <c r="D76" s="15" t="n">
        <v>2.09</v>
      </c>
      <c r="E76" s="16" t="n">
        <f aca="false">B76+C76+D76</f>
        <v>12.63</v>
      </c>
    </row>
    <row r="77" customFormat="false" ht="15" hidden="false" customHeight="false" outlineLevel="0" collapsed="false">
      <c r="A77" s="6" t="s">
        <v>130</v>
      </c>
      <c r="B77" s="15" t="n">
        <v>3.48</v>
      </c>
      <c r="C77" s="15" t="n">
        <v>4.74</v>
      </c>
      <c r="D77" s="15" t="n">
        <v>1.29</v>
      </c>
      <c r="E77" s="16" t="n">
        <f aca="false">B77+C77+D77</f>
        <v>9.51</v>
      </c>
    </row>
    <row r="78" customFormat="false" ht="15" hidden="false" customHeight="false" outlineLevel="0" collapsed="false">
      <c r="A78" s="6" t="s">
        <v>96</v>
      </c>
      <c r="B78" s="15" t="n">
        <v>1.38</v>
      </c>
      <c r="C78" s="15" t="n">
        <v>1.87</v>
      </c>
      <c r="D78" s="15" t="n">
        <v>0.51</v>
      </c>
      <c r="E78" s="16" t="n">
        <f aca="false">B78+C78+D78</f>
        <v>3.76</v>
      </c>
    </row>
    <row r="79" customFormat="false" ht="15" hidden="false" customHeight="false" outlineLevel="0" collapsed="false">
      <c r="A79" s="3" t="s">
        <v>131</v>
      </c>
      <c r="B79" s="16" t="n">
        <f aca="false">SUM(B73:B78)</f>
        <v>41.07</v>
      </c>
      <c r="C79" s="16" t="n">
        <f aca="false">SUM(C73:C78)</f>
        <v>35.66</v>
      </c>
      <c r="D79" s="16" t="n">
        <f aca="false">SUM(D73:D78)</f>
        <v>9.69</v>
      </c>
      <c r="E79" s="16" t="n">
        <f aca="false">SUM(E73:E78)</f>
        <v>86.42</v>
      </c>
    </row>
    <row r="80" customFormat="false" ht="15" hidden="false" customHeight="false" outlineLevel="0" collapsed="false">
      <c r="A80" s="6" t="s">
        <v>132</v>
      </c>
      <c r="B80" s="15" t="n">
        <f aca="false">B36</f>
        <v>86.425553660812</v>
      </c>
      <c r="D80" s="6" t="s">
        <v>133</v>
      </c>
      <c r="E80" s="15" t="n">
        <f aca="false">E79</f>
        <v>86.42</v>
      </c>
    </row>
    <row r="81" customFormat="false" ht="15" hidden="false" customHeight="false" outlineLevel="0" collapsed="false">
      <c r="A81" s="6" t="s">
        <v>134</v>
      </c>
      <c r="B81" s="15" t="n">
        <v>-0.15</v>
      </c>
      <c r="D81" s="6" t="s">
        <v>135</v>
      </c>
      <c r="E81" s="16" t="n">
        <f aca="false">E79+B81</f>
        <v>86.27</v>
      </c>
    </row>
  </sheetData>
  <mergeCells count="1">
    <mergeCell ref="A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2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136</v>
      </c>
    </row>
    <row r="2" customFormat="false" ht="42" hidden="false" customHeight="true" outlineLevel="0" collapsed="false">
      <c r="A2" s="23" t="s">
        <v>137</v>
      </c>
      <c r="B2" s="23"/>
      <c r="C2" s="23"/>
      <c r="D2" s="23"/>
      <c r="E2" s="23"/>
      <c r="F2" s="23"/>
      <c r="G2" s="23"/>
    </row>
    <row r="4" customFormat="false" ht="15" hidden="false" customHeight="false" outlineLevel="0" collapsed="false">
      <c r="A4" s="8" t="s">
        <v>138</v>
      </c>
      <c r="B4" s="9"/>
      <c r="C4" s="9"/>
      <c r="D4" s="9"/>
      <c r="E4" s="9"/>
      <c r="F4" s="9"/>
      <c r="G4" s="9"/>
    </row>
    <row r="5" customFormat="false" ht="15" hidden="false" customHeight="false" outlineLevel="0" collapsed="false">
      <c r="A5" s="14" t="s">
        <v>139</v>
      </c>
      <c r="B5" s="14" t="s">
        <v>103</v>
      </c>
      <c r="C5" s="14" t="s">
        <v>140</v>
      </c>
      <c r="D5" s="14" t="s">
        <v>141</v>
      </c>
      <c r="E5" s="14" t="s">
        <v>38</v>
      </c>
    </row>
    <row r="6" customFormat="false" ht="15" hidden="false" customHeight="false" outlineLevel="0" collapsed="false">
      <c r="A6" s="6" t="s">
        <v>142</v>
      </c>
      <c r="B6" s="12" t="n">
        <v>0.156</v>
      </c>
      <c r="C6" s="6" t="s">
        <v>142</v>
      </c>
    </row>
    <row r="7" customFormat="false" ht="15" hidden="false" customHeight="false" outlineLevel="0" collapsed="false">
      <c r="A7" s="6" t="s">
        <v>143</v>
      </c>
      <c r="B7" s="12" t="n">
        <v>0.225</v>
      </c>
      <c r="C7" s="6" t="s">
        <v>144</v>
      </c>
    </row>
    <row r="8" customFormat="false" ht="15" hidden="false" customHeight="false" outlineLevel="0" collapsed="false">
      <c r="A8" s="6" t="s">
        <v>145</v>
      </c>
      <c r="B8" s="12" t="n">
        <v>0.117</v>
      </c>
      <c r="C8" s="6" t="s">
        <v>144</v>
      </c>
    </row>
    <row r="9" customFormat="false" ht="15" hidden="false" customHeight="false" outlineLevel="0" collapsed="false">
      <c r="A9" s="6" t="s">
        <v>146</v>
      </c>
      <c r="B9" s="12" t="n">
        <v>0.289</v>
      </c>
      <c r="C9" s="6" t="s">
        <v>147</v>
      </c>
    </row>
    <row r="10" customFormat="false" ht="15" hidden="false" customHeight="false" outlineLevel="0" collapsed="false">
      <c r="A10" s="6" t="s">
        <v>148</v>
      </c>
      <c r="B10" s="12" t="n">
        <v>0.213</v>
      </c>
      <c r="C10" s="6" t="s">
        <v>149</v>
      </c>
    </row>
    <row r="11" customFormat="false" ht="15" hidden="false" customHeight="false" outlineLevel="0" collapsed="false">
      <c r="A11" s="6" t="s">
        <v>142</v>
      </c>
      <c r="B11" s="13" t="n">
        <f aca="false">B6</f>
        <v>0.156</v>
      </c>
      <c r="D11" s="13" t="n">
        <f aca="false">B6</f>
        <v>0.156</v>
      </c>
      <c r="E11" s="15" t="n">
        <f aca="false">D11*86.42</f>
        <v>13.48152</v>
      </c>
    </row>
    <row r="12" customFormat="false" ht="15" hidden="false" customHeight="false" outlineLevel="0" collapsed="false">
      <c r="A12" s="6" t="s">
        <v>150</v>
      </c>
      <c r="D12" s="13" t="n">
        <f aca="false">B7+B8</f>
        <v>0.342</v>
      </c>
      <c r="E12" s="15" t="n">
        <f aca="false">D12*86.42</f>
        <v>29.55564</v>
      </c>
    </row>
    <row r="13" customFormat="false" ht="15" hidden="false" customHeight="false" outlineLevel="0" collapsed="false">
      <c r="A13" s="6" t="s">
        <v>151</v>
      </c>
      <c r="D13" s="13" t="n">
        <f aca="false">B9</f>
        <v>0.289</v>
      </c>
      <c r="E13" s="15" t="n">
        <f aca="false">D13*86.42</f>
        <v>24.97538</v>
      </c>
    </row>
    <row r="14" customFormat="false" ht="15" hidden="false" customHeight="false" outlineLevel="0" collapsed="false">
      <c r="A14" s="6" t="s">
        <v>152</v>
      </c>
      <c r="D14" s="13" t="n">
        <f aca="false">B10</f>
        <v>0.213</v>
      </c>
      <c r="E14" s="15" t="n">
        <f aca="false">D14*86.42</f>
        <v>18.40746</v>
      </c>
    </row>
    <row r="15" customFormat="false" ht="15" hidden="false" customHeight="false" outlineLevel="0" collapsed="false">
      <c r="A15" s="3" t="s">
        <v>153</v>
      </c>
      <c r="D15" s="20" t="n">
        <f aca="false">SUM(D11:D14)</f>
        <v>1</v>
      </c>
      <c r="E15" s="16" t="n">
        <f aca="false">SUM(E11:E14)</f>
        <v>86.42</v>
      </c>
    </row>
    <row r="17" customFormat="false" ht="15" hidden="false" customHeight="false" outlineLevel="0" collapsed="false">
      <c r="A17" s="8" t="s">
        <v>154</v>
      </c>
      <c r="B17" s="9"/>
      <c r="C17" s="9"/>
      <c r="D17" s="9"/>
      <c r="E17" s="9"/>
      <c r="F17" s="9"/>
      <c r="G17" s="9"/>
    </row>
    <row r="18" customFormat="false" ht="15" hidden="false" customHeight="false" outlineLevel="0" collapsed="false">
      <c r="A18" s="14" t="s">
        <v>155</v>
      </c>
      <c r="B18" s="14" t="s">
        <v>142</v>
      </c>
      <c r="C18" s="14" t="s">
        <v>144</v>
      </c>
      <c r="D18" s="14" t="s">
        <v>147</v>
      </c>
      <c r="E18" s="14" t="s">
        <v>149</v>
      </c>
      <c r="F18" s="14" t="s">
        <v>156</v>
      </c>
      <c r="G18" s="14" t="s">
        <v>157</v>
      </c>
    </row>
    <row r="19" customFormat="false" ht="15" hidden="false" customHeight="false" outlineLevel="0" collapsed="false">
      <c r="A19" s="6" t="s">
        <v>98</v>
      </c>
      <c r="B19" s="13" t="n">
        <v>0.0104</v>
      </c>
      <c r="C19" s="13" t="n">
        <v>0.0907</v>
      </c>
      <c r="D19" s="13" t="n">
        <v>0.4624</v>
      </c>
      <c r="E19" s="13" t="n">
        <v>0.4365</v>
      </c>
      <c r="F19" s="13" t="n">
        <f aca="false">SUM(B19:E19)</f>
        <v>1</v>
      </c>
      <c r="G19" s="16" t="n">
        <v>28.54</v>
      </c>
    </row>
    <row r="20" customFormat="false" ht="15" hidden="false" customHeight="false" outlineLevel="0" collapsed="false">
      <c r="A20" s="6" t="s">
        <v>84</v>
      </c>
      <c r="B20" s="13" t="n">
        <v>0.2343</v>
      </c>
      <c r="C20" s="13" t="n">
        <v>0.4788</v>
      </c>
      <c r="D20" s="13" t="n">
        <v>0.1831</v>
      </c>
      <c r="E20" s="13" t="n">
        <v>0.1037</v>
      </c>
      <c r="F20" s="13" t="n">
        <f aca="false">SUM(B20:E20)</f>
        <v>0.9999</v>
      </c>
      <c r="G20" s="16" t="n">
        <v>18.66</v>
      </c>
    </row>
    <row r="21" customFormat="false" ht="15" hidden="false" customHeight="false" outlineLevel="0" collapsed="false">
      <c r="A21" s="6" t="s">
        <v>92</v>
      </c>
      <c r="B21" s="13" t="n">
        <v>0.2521</v>
      </c>
      <c r="C21" s="13" t="n">
        <v>0.4378</v>
      </c>
      <c r="D21" s="13" t="n">
        <v>0.188</v>
      </c>
      <c r="E21" s="13" t="n">
        <v>0.122</v>
      </c>
      <c r="F21" s="13" t="n">
        <f aca="false">SUM(B21:E21)</f>
        <v>0.9999</v>
      </c>
      <c r="G21" s="16" t="n">
        <v>13.33</v>
      </c>
    </row>
    <row r="22" customFormat="false" ht="15" hidden="false" customHeight="false" outlineLevel="0" collapsed="false">
      <c r="A22" s="6" t="s">
        <v>86</v>
      </c>
      <c r="B22" s="13" t="n">
        <v>0.2875</v>
      </c>
      <c r="C22" s="13" t="n">
        <v>0.4755</v>
      </c>
      <c r="D22" s="13" t="n">
        <v>0.1455</v>
      </c>
      <c r="E22" s="13" t="n">
        <v>0.0916</v>
      </c>
      <c r="F22" s="13" t="n">
        <f aca="false">SUM(B22:E22)</f>
        <v>1.0001</v>
      </c>
      <c r="G22" s="16" t="n">
        <v>12.63</v>
      </c>
    </row>
    <row r="23" customFormat="false" ht="15" hidden="false" customHeight="false" outlineLevel="0" collapsed="false">
      <c r="A23" s="6" t="s">
        <v>130</v>
      </c>
      <c r="B23" s="13" t="n">
        <v>0.144</v>
      </c>
      <c r="C23" s="13" t="n">
        <v>0.4774</v>
      </c>
      <c r="D23" s="13" t="n">
        <v>0.313</v>
      </c>
      <c r="E23" s="13" t="n">
        <v>0.0657</v>
      </c>
      <c r="F23" s="13" t="n">
        <f aca="false">SUM(B23:E23)</f>
        <v>1.0001</v>
      </c>
      <c r="G23" s="16" t="n">
        <v>9.51</v>
      </c>
    </row>
    <row r="24" customFormat="false" ht="15" hidden="false" customHeight="false" outlineLevel="0" collapsed="false">
      <c r="A24" s="6" t="s">
        <v>96</v>
      </c>
      <c r="B24" s="13" t="n">
        <v>0.1194</v>
      </c>
      <c r="C24" s="13" t="n">
        <v>0.4407</v>
      </c>
      <c r="D24" s="13" t="n">
        <v>0.2777</v>
      </c>
      <c r="E24" s="13" t="n">
        <v>0.1622</v>
      </c>
      <c r="F24" s="13" t="n">
        <f aca="false">SUM(B24:E24)</f>
        <v>1</v>
      </c>
      <c r="G24" s="16" t="n">
        <v>3.76</v>
      </c>
    </row>
    <row r="25" customFormat="false" ht="15" hidden="false" customHeight="false" outlineLevel="0" collapsed="false">
      <c r="A25" s="3" t="s">
        <v>158</v>
      </c>
      <c r="B25" s="16" t="n">
        <f aca="false">SUMPRODUCT($G$19:$G$24,B19:B24)</f>
        <v>13.478856</v>
      </c>
      <c r="C25" s="16" t="n">
        <f aca="false">SUMPRODUCT($G$19:$G$24,C19:C24)</f>
        <v>29.561531</v>
      </c>
      <c r="D25" s="16" t="n">
        <f aca="false">SUMPRODUCT($G$19:$G$24,D19:D24)</f>
        <v>24.978029</v>
      </c>
      <c r="E25" s="16" t="n">
        <f aca="false">SUMPRODUCT($G$19:$G$24,E19:E24)</f>
        <v>18.410599</v>
      </c>
      <c r="G25" s="16" t="n">
        <f aca="false">SUM(G19:G24)</f>
        <v>86.43</v>
      </c>
    </row>
    <row r="26" customFormat="false" ht="15" hidden="false" customHeight="false" outlineLevel="0" collapsed="false">
      <c r="A26" s="6" t="s">
        <v>159</v>
      </c>
      <c r="B26" s="15" t="n">
        <v>13.48</v>
      </c>
      <c r="C26" s="15" t="n">
        <v>29.56</v>
      </c>
      <c r="D26" s="15" t="n">
        <v>24.98</v>
      </c>
      <c r="E26" s="15" t="n">
        <v>18.41</v>
      </c>
    </row>
    <row r="27" customFormat="false" ht="25.5" hidden="false" customHeight="true" outlineLevel="0" collapsed="false">
      <c r="A27" s="21" t="s">
        <v>160</v>
      </c>
      <c r="B27" s="21"/>
      <c r="C27" s="21"/>
      <c r="D27" s="21"/>
      <c r="E27" s="21"/>
      <c r="F27" s="21"/>
      <c r="G27" s="21"/>
    </row>
  </sheetData>
  <mergeCells count="2">
    <mergeCell ref="A2:G2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3" min="2" style="0" width="16"/>
    <col collapsed="false" customWidth="true" hidden="false" outlineLevel="0" max="4" min="4" style="0" width="42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15" hidden="false" customHeight="false" outlineLevel="0" collapsed="false">
      <c r="A4" s="8" t="s">
        <v>163</v>
      </c>
      <c r="B4" s="9"/>
      <c r="C4" s="9"/>
      <c r="D4" s="9"/>
    </row>
    <row r="5" customFormat="false" ht="15" hidden="false" customHeight="false" outlineLevel="0" collapsed="false">
      <c r="A5" s="14" t="s">
        <v>164</v>
      </c>
      <c r="B5" s="14" t="s">
        <v>127</v>
      </c>
      <c r="C5" s="14" t="s">
        <v>128</v>
      </c>
      <c r="D5" s="14" t="s">
        <v>40</v>
      </c>
    </row>
    <row r="6" customFormat="false" ht="15" hidden="false" customHeight="false" outlineLevel="0" collapsed="false">
      <c r="A6" s="6" t="s">
        <v>165</v>
      </c>
      <c r="B6" s="15" t="n">
        <f aca="false">'Flow model'!D24</f>
        <v>40.0632373320359</v>
      </c>
      <c r="C6" s="15" t="n">
        <f aca="false">'Flow model'!D25</f>
        <v>10.8862748424002</v>
      </c>
    </row>
    <row r="7" customFormat="false" ht="15" hidden="false" customHeight="false" outlineLevel="0" collapsed="false">
      <c r="A7" s="6" t="s">
        <v>71</v>
      </c>
      <c r="B7" s="12" t="n">
        <v>0.89</v>
      </c>
      <c r="C7" s="12" t="n">
        <v>0.89</v>
      </c>
      <c r="D7" s="4" t="s">
        <v>166</v>
      </c>
    </row>
    <row r="8" customFormat="false" ht="15" hidden="false" customHeight="false" outlineLevel="0" collapsed="false">
      <c r="A8" s="6" t="s">
        <v>167</v>
      </c>
      <c r="B8" s="12" t="n">
        <v>0.09</v>
      </c>
      <c r="C8" s="12" t="n">
        <v>0.09</v>
      </c>
      <c r="D8" s="4" t="s">
        <v>168</v>
      </c>
    </row>
    <row r="9" customFormat="false" ht="15" hidden="false" customHeight="false" outlineLevel="0" collapsed="false">
      <c r="A9" s="6" t="s">
        <v>169</v>
      </c>
      <c r="B9" s="13" t="n">
        <f aca="false">1-B7-B8</f>
        <v>0.02</v>
      </c>
      <c r="C9" s="13" t="n">
        <f aca="false">1-C7-C8</f>
        <v>0.02</v>
      </c>
      <c r="D9" s="4" t="s">
        <v>170</v>
      </c>
    </row>
    <row r="10" customFormat="false" ht="15" hidden="false" customHeight="false" outlineLevel="0" collapsed="false">
      <c r="A10" s="6" t="s">
        <v>171</v>
      </c>
      <c r="B10" s="15" t="n">
        <f aca="false">B6*B8</f>
        <v>3.60569135988323</v>
      </c>
      <c r="C10" s="15" t="n">
        <f aca="false">C6*C8</f>
        <v>0.97976473581602</v>
      </c>
    </row>
    <row r="11" customFormat="false" ht="15" hidden="false" customHeight="false" outlineLevel="0" collapsed="false">
      <c r="A11" s="6" t="s">
        <v>172</v>
      </c>
      <c r="B11" s="15" t="n">
        <f aca="false">B6*B9</f>
        <v>0.801264746640717</v>
      </c>
      <c r="C11" s="15" t="n">
        <f aca="false">C6*C9</f>
        <v>0.217725496848004</v>
      </c>
    </row>
    <row r="12" customFormat="false" ht="15" hidden="false" customHeight="false" outlineLevel="0" collapsed="false">
      <c r="A12" s="7" t="s">
        <v>173</v>
      </c>
      <c r="B12" s="22" t="n">
        <v>0.76</v>
      </c>
      <c r="C12" s="7" t="s">
        <v>174</v>
      </c>
      <c r="D12" s="18" t="s">
        <v>175</v>
      </c>
    </row>
    <row r="13" customFormat="false" ht="15" hidden="false" customHeight="false" outlineLevel="0" collapsed="false">
      <c r="A13" s="6" t="s">
        <v>176</v>
      </c>
      <c r="B13" s="16" t="n">
        <f aca="false">B10+B11+C10+C11</f>
        <v>5.60444633918797</v>
      </c>
      <c r="D13" s="4" t="s">
        <v>177</v>
      </c>
    </row>
    <row r="14" customFormat="false" ht="15" hidden="false" customHeight="false" outlineLevel="0" collapsed="false">
      <c r="A14" s="6" t="s">
        <v>178</v>
      </c>
      <c r="B14" s="15" t="n">
        <f aca="false">B13-B12</f>
        <v>4.84444633918797</v>
      </c>
    </row>
    <row r="15" customFormat="false" ht="15" hidden="false" customHeight="false" outlineLevel="0" collapsed="false">
      <c r="A15" s="6" t="s">
        <v>179</v>
      </c>
      <c r="B15" s="15" t="n">
        <f aca="false">B14*(B10+B11)/B13</f>
        <v>3.80934370411071</v>
      </c>
      <c r="C15" s="15" t="n">
        <f aca="false">B14*(C10+C11)/B13</f>
        <v>1.03510263507726</v>
      </c>
      <c r="D15" s="4" t="s">
        <v>180</v>
      </c>
    </row>
    <row r="16" customFormat="false" ht="30" hidden="false" customHeight="true" outlineLevel="0" collapsed="false">
      <c r="A16" s="24" t="s">
        <v>181</v>
      </c>
      <c r="B16" s="24"/>
      <c r="C16" s="24"/>
      <c r="D16" s="24"/>
    </row>
    <row r="17" customFormat="false" ht="15" hidden="false" customHeight="false" outlineLevel="0" collapsed="false">
      <c r="A17" s="8" t="s">
        <v>182</v>
      </c>
      <c r="B17" s="9"/>
      <c r="C17" s="9"/>
      <c r="D17" s="9"/>
    </row>
    <row r="18" customFormat="false" ht="15" hidden="false" customHeight="false" outlineLevel="0" collapsed="false">
      <c r="A18" s="6" t="s">
        <v>183</v>
      </c>
      <c r="B18" s="10" t="n">
        <v>1400</v>
      </c>
      <c r="D18" s="4" t="s">
        <v>184</v>
      </c>
    </row>
    <row r="19" customFormat="false" ht="15" hidden="false" customHeight="false" outlineLevel="0" collapsed="false">
      <c r="A19" s="6" t="s">
        <v>185</v>
      </c>
      <c r="B19" s="25" t="n">
        <f aca="false">B18/'Flow model'!B6</f>
        <v>0.00154042685228077</v>
      </c>
    </row>
    <row r="20" customFormat="false" ht="15" hidden="false" customHeight="false" outlineLevel="0" collapsed="false">
      <c r="A20" s="6" t="s">
        <v>56</v>
      </c>
      <c r="B20" s="15" t="n">
        <f aca="false">B18/'Flow model'!B5*100</f>
        <v>0.146229371213704</v>
      </c>
    </row>
    <row r="21" customFormat="false" ht="25.5" hidden="false" customHeight="true" outlineLevel="0" collapsed="false">
      <c r="A21" s="24" t="s">
        <v>186</v>
      </c>
      <c r="B21" s="24"/>
      <c r="C21" s="24"/>
      <c r="D21" s="24"/>
    </row>
    <row r="23" customFormat="false" ht="15" hidden="false" customHeight="true" outlineLevel="0" collapsed="false">
      <c r="A23" s="21" t="s">
        <v>187</v>
      </c>
      <c r="B23" s="21"/>
      <c r="C23" s="21"/>
      <c r="D23" s="21"/>
    </row>
  </sheetData>
  <mergeCells count="3">
    <mergeCell ref="A16:D16"/>
    <mergeCell ref="A21:D21"/>
    <mergeCell ref="A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7.35" hidden="false" customHeight="false" outlineLevel="0" collapsed="false">
      <c r="B1" s="1" t="s">
        <v>188</v>
      </c>
    </row>
    <row r="2" customFormat="false" ht="15" hidden="false" customHeight="false" outlineLevel="0" collapsed="false">
      <c r="B2" s="2" t="s">
        <v>189</v>
      </c>
    </row>
    <row r="4" customFormat="false" ht="15" hidden="false" customHeight="false" outlineLevel="0" collapsed="false">
      <c r="A4" s="14" t="s">
        <v>190</v>
      </c>
      <c r="B4" s="14" t="s">
        <v>191</v>
      </c>
      <c r="C4" s="14" t="s">
        <v>192</v>
      </c>
      <c r="D4" s="14" t="s">
        <v>193</v>
      </c>
    </row>
    <row r="5" customFormat="false" ht="27.75" hidden="false" customHeight="true" outlineLevel="0" collapsed="false">
      <c r="A5" s="6" t="n">
        <v>1</v>
      </c>
      <c r="B5" s="4" t="s">
        <v>194</v>
      </c>
      <c r="C5" s="6" t="s">
        <v>195</v>
      </c>
      <c r="D5" s="4" t="s">
        <v>196</v>
      </c>
    </row>
    <row r="6" customFormat="false" ht="27.75" hidden="false" customHeight="true" outlineLevel="0" collapsed="false">
      <c r="A6" s="6" t="n">
        <v>2</v>
      </c>
      <c r="B6" s="4" t="s">
        <v>197</v>
      </c>
      <c r="C6" s="6" t="s">
        <v>195</v>
      </c>
      <c r="D6" s="4" t="s">
        <v>198</v>
      </c>
    </row>
    <row r="7" customFormat="false" ht="27.75" hidden="false" customHeight="true" outlineLevel="0" collapsed="false">
      <c r="A7" s="6" t="n">
        <v>3</v>
      </c>
      <c r="B7" s="4" t="s">
        <v>199</v>
      </c>
      <c r="C7" s="6" t="s">
        <v>200</v>
      </c>
      <c r="D7" s="4" t="s">
        <v>201</v>
      </c>
    </row>
    <row r="8" customFormat="false" ht="27.75" hidden="false" customHeight="true" outlineLevel="0" collapsed="false">
      <c r="A8" s="6" t="n">
        <v>4</v>
      </c>
      <c r="B8" s="4" t="s">
        <v>202</v>
      </c>
      <c r="C8" s="6" t="s">
        <v>203</v>
      </c>
      <c r="D8" s="4" t="s">
        <v>204</v>
      </c>
    </row>
    <row r="9" customFormat="false" ht="27.75" hidden="false" customHeight="true" outlineLevel="0" collapsed="false">
      <c r="A9" s="6" t="n">
        <v>5</v>
      </c>
      <c r="B9" s="4" t="s">
        <v>205</v>
      </c>
      <c r="C9" s="6" t="s">
        <v>206</v>
      </c>
      <c r="D9" s="4" t="s">
        <v>207</v>
      </c>
    </row>
    <row r="10" customFormat="false" ht="27.75" hidden="false" customHeight="true" outlineLevel="0" collapsed="false">
      <c r="A10" s="6" t="n">
        <v>6</v>
      </c>
      <c r="B10" s="4" t="s">
        <v>208</v>
      </c>
      <c r="C10" s="6" t="s">
        <v>209</v>
      </c>
      <c r="D10" s="4" t="s">
        <v>210</v>
      </c>
    </row>
    <row r="11" customFormat="false" ht="27.75" hidden="false" customHeight="true" outlineLevel="0" collapsed="false">
      <c r="A11" s="6" t="n">
        <v>7</v>
      </c>
      <c r="B11" s="4" t="s">
        <v>211</v>
      </c>
      <c r="C11" s="6" t="s">
        <v>195</v>
      </c>
      <c r="D11" s="4" t="s">
        <v>212</v>
      </c>
    </row>
    <row r="12" customFormat="false" ht="27.75" hidden="false" customHeight="true" outlineLevel="0" collapsed="false">
      <c r="A12" s="6" t="n">
        <v>8</v>
      </c>
      <c r="B12" s="4" t="s">
        <v>213</v>
      </c>
      <c r="C12" s="6" t="s">
        <v>214</v>
      </c>
      <c r="D12" s="4" t="s">
        <v>215</v>
      </c>
    </row>
    <row r="13" customFormat="false" ht="27.75" hidden="false" customHeight="true" outlineLevel="0" collapsed="false">
      <c r="A13" s="6" t="n">
        <v>9</v>
      </c>
      <c r="B13" s="4" t="s">
        <v>216</v>
      </c>
      <c r="C13" s="6" t="s">
        <v>195</v>
      </c>
      <c r="D13" s="4" t="s">
        <v>217</v>
      </c>
    </row>
    <row r="14" customFormat="false" ht="27.75" hidden="false" customHeight="true" outlineLevel="0" collapsed="false">
      <c r="A14" s="6" t="n">
        <v>10</v>
      </c>
      <c r="B14" s="4" t="s">
        <v>218</v>
      </c>
      <c r="C14" s="6" t="s">
        <v>219</v>
      </c>
      <c r="D14" s="4" t="s">
        <v>220</v>
      </c>
    </row>
    <row r="15" customFormat="false" ht="27.75" hidden="false" customHeight="true" outlineLevel="0" collapsed="false">
      <c r="A15" s="6" t="n">
        <v>11</v>
      </c>
      <c r="B15" s="4" t="s">
        <v>221</v>
      </c>
      <c r="C15" s="6" t="s">
        <v>222</v>
      </c>
      <c r="D15" s="4" t="s">
        <v>223</v>
      </c>
    </row>
    <row r="16" customFormat="false" ht="27.75" hidden="false" customHeight="true" outlineLevel="0" collapsed="false">
      <c r="A16" s="6" t="n">
        <v>12</v>
      </c>
      <c r="B16" s="4" t="s">
        <v>224</v>
      </c>
      <c r="C16" s="6" t="s">
        <v>225</v>
      </c>
      <c r="D16" s="4" t="s">
        <v>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82"/>
  </cols>
  <sheetData>
    <row r="1" customFormat="false" ht="17.35" hidden="false" customHeight="false" outlineLevel="0" collapsed="false">
      <c r="B1" s="1" t="s">
        <v>227</v>
      </c>
    </row>
    <row r="2" customFormat="false" ht="15" hidden="false" customHeight="false" outlineLevel="0" collapsed="false">
      <c r="B2" s="2" t="s">
        <v>228</v>
      </c>
    </row>
    <row r="4" customFormat="false" ht="15" hidden="false" customHeight="false" outlineLevel="0" collapsed="false">
      <c r="A4" s="14" t="s">
        <v>190</v>
      </c>
      <c r="B4" s="14" t="s">
        <v>229</v>
      </c>
      <c r="C4" s="14" t="s">
        <v>230</v>
      </c>
    </row>
    <row r="5" customFormat="false" ht="57.75" hidden="false" customHeight="true" outlineLevel="0" collapsed="false">
      <c r="A5" s="7" t="s">
        <v>231</v>
      </c>
      <c r="B5" s="26" t="s">
        <v>232</v>
      </c>
      <c r="C5" s="18" t="s">
        <v>233</v>
      </c>
    </row>
    <row r="6" customFormat="false" ht="57.75" hidden="false" customHeight="true" outlineLevel="0" collapsed="false">
      <c r="A6" s="7" t="s">
        <v>234</v>
      </c>
      <c r="B6" s="26" t="s">
        <v>235</v>
      </c>
      <c r="C6" s="18" t="s">
        <v>236</v>
      </c>
    </row>
    <row r="7" customFormat="false" ht="57.75" hidden="false" customHeight="true" outlineLevel="0" collapsed="false">
      <c r="A7" s="7" t="s">
        <v>237</v>
      </c>
      <c r="B7" s="26" t="s">
        <v>238</v>
      </c>
      <c r="C7" s="18" t="s">
        <v>239</v>
      </c>
    </row>
    <row r="8" customFormat="false" ht="57.75" hidden="false" customHeight="true" outlineLevel="0" collapsed="false">
      <c r="A8" s="7" t="s">
        <v>240</v>
      </c>
      <c r="B8" s="26" t="s">
        <v>241</v>
      </c>
      <c r="C8" s="18" t="s">
        <v>242</v>
      </c>
    </row>
    <row r="9" customFormat="false" ht="57.75" hidden="false" customHeight="true" outlineLevel="0" collapsed="false">
      <c r="A9" s="7" t="s">
        <v>243</v>
      </c>
      <c r="B9" s="26" t="s">
        <v>244</v>
      </c>
      <c r="C9" s="18" t="s">
        <v>245</v>
      </c>
    </row>
    <row r="10" customFormat="false" ht="57.75" hidden="false" customHeight="true" outlineLevel="0" collapsed="false">
      <c r="A10" s="6" t="s">
        <v>246</v>
      </c>
      <c r="B10" s="27" t="s">
        <v>247</v>
      </c>
      <c r="C10" s="4" t="s">
        <v>248</v>
      </c>
    </row>
    <row r="11" customFormat="false" ht="57.75" hidden="false" customHeight="true" outlineLevel="0" collapsed="false">
      <c r="A11" s="6" t="s">
        <v>249</v>
      </c>
      <c r="B11" s="27" t="s">
        <v>250</v>
      </c>
      <c r="C11" s="4" t="s">
        <v>251</v>
      </c>
    </row>
    <row r="12" customFormat="false" ht="57.75" hidden="false" customHeight="true" outlineLevel="0" collapsed="false">
      <c r="A12" s="6" t="s">
        <v>252</v>
      </c>
      <c r="B12" s="27" t="s">
        <v>253</v>
      </c>
      <c r="C12" s="4" t="s">
        <v>254</v>
      </c>
    </row>
    <row r="13" customFormat="false" ht="57.75" hidden="false" customHeight="true" outlineLevel="0" collapsed="false">
      <c r="A13" s="6" t="s">
        <v>255</v>
      </c>
      <c r="B13" s="27" t="s">
        <v>256</v>
      </c>
      <c r="C13" s="4" t="s">
        <v>257</v>
      </c>
    </row>
    <row r="14" customFormat="false" ht="57.75" hidden="false" customHeight="true" outlineLevel="0" collapsed="false">
      <c r="A14" s="7" t="s">
        <v>258</v>
      </c>
      <c r="B14" s="26" t="s">
        <v>259</v>
      </c>
      <c r="C14" s="18" t="s">
        <v>260</v>
      </c>
    </row>
    <row r="15" customFormat="false" ht="57.75" hidden="false" customHeight="true" outlineLevel="0" collapsed="false">
      <c r="A15" s="7" t="s">
        <v>261</v>
      </c>
      <c r="B15" s="26" t="s">
        <v>262</v>
      </c>
      <c r="C15" s="18" t="s">
        <v>263</v>
      </c>
    </row>
    <row r="16" customFormat="false" ht="57.75" hidden="false" customHeight="true" outlineLevel="0" collapsed="false">
      <c r="A16" s="7" t="s">
        <v>264</v>
      </c>
      <c r="B16" s="26" t="s">
        <v>265</v>
      </c>
      <c r="C16" s="18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2026-06-09T23:15:36Z</dcterms:created>
  <dc:creator>openpyxl</dc:creator>
  <dc:description/>
  <dc:language>en-US</dc:language>
  <cp:lastModifiedBy/>
  <dcterms:modified xsi:type="dcterms:W3CDTF">2026-06-09T23:15:36Z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